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piit.sharepoint.com/sites/CPIBiologics/Shared Documents/05. Technical/01. Technical Areas/03. Downstream/01. Useful info and tools/02. Buffer Calculator/"/>
    </mc:Choice>
  </mc:AlternateContent>
  <xr:revisionPtr revIDLastSave="39" documentId="13_ncr:1_{0C2A365F-EBD4-4ECE-A3A7-985B1349A80D}" xr6:coauthVersionLast="47" xr6:coauthVersionMax="47" xr10:uidLastSave="{9B7E5CA1-05EA-4904-A258-6F2458F5B308}"/>
  <bookViews>
    <workbookView xWindow="-110" yWindow="-110" windowWidth="19420" windowHeight="10420" tabRatio="657" firstSheet="2" activeTab="2" xr2:uid="{00000000-000D-0000-FFFF-FFFF00000000}"/>
  </bookViews>
  <sheets>
    <sheet name="Phosphate" sheetId="1" r:id="rId1"/>
    <sheet name="StockSolutions" sheetId="7" r:id="rId2"/>
    <sheet name="BufferRecipes" sheetId="4" r:id="rId3"/>
    <sheet name="DataLookup" sheetId="6" r:id="rId4"/>
  </sheets>
  <definedNames>
    <definedName name="BufferSystems">DataLookup!$B$3:$B$8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7" l="1"/>
  <c r="H8" i="7"/>
  <c r="H6" i="4"/>
  <c r="H4" i="4"/>
  <c r="C13" i="4"/>
  <c r="H5" i="4"/>
  <c r="C14" i="4"/>
  <c r="J6" i="4"/>
  <c r="J4" i="4"/>
  <c r="C26" i="4"/>
  <c r="C23" i="4"/>
  <c r="C22" i="4"/>
  <c r="C21" i="4"/>
  <c r="C20" i="4"/>
  <c r="C19" i="4"/>
  <c r="C24" i="4"/>
  <c r="D24" i="4"/>
  <c r="D23" i="4"/>
  <c r="D22" i="4"/>
  <c r="D21" i="4"/>
  <c r="D20" i="4"/>
  <c r="D19" i="4"/>
  <c r="J7" i="4"/>
  <c r="AC4" i="6"/>
  <c r="C29" i="4" s="1"/>
  <c r="C16" i="4"/>
  <c r="J5" i="4" s="1"/>
  <c r="U4" i="6"/>
  <c r="AC5" i="6"/>
  <c r="L4" i="1"/>
  <c r="C28" i="1" s="1"/>
  <c r="L5" i="1"/>
  <c r="E11" i="1"/>
  <c r="C18" i="1" s="1"/>
  <c r="E12" i="1"/>
  <c r="C8" i="1"/>
  <c r="E13" i="1" s="1"/>
  <c r="C9" i="1"/>
  <c r="E16" i="1"/>
  <c r="E15" i="1"/>
  <c r="E14" i="1"/>
  <c r="E23" i="4" l="1"/>
  <c r="E24" i="4"/>
  <c r="E19" i="4"/>
  <c r="E22" i="4"/>
  <c r="E21" i="4"/>
  <c r="E20" i="4"/>
  <c r="C20" i="1"/>
  <c r="C36" i="1" s="1"/>
  <c r="C27" i="4" l="1"/>
  <c r="C31" i="4" s="1"/>
  <c r="C32" i="4" s="1"/>
</calcChain>
</file>

<file path=xl/sharedStrings.xml><?xml version="1.0" encoding="utf-8"?>
<sst xmlns="http://schemas.openxmlformats.org/spreadsheetml/2006/main" count="162" uniqueCount="106">
  <si>
    <t>pKa</t>
  </si>
  <si>
    <t>Acid + charge</t>
  </si>
  <si>
    <t>Acid – charge</t>
  </si>
  <si>
    <t>Base + charge</t>
  </si>
  <si>
    <t>Base – charge</t>
  </si>
  <si>
    <t>Salt + charge</t>
  </si>
  <si>
    <t>Salt - charge</t>
  </si>
  <si>
    <t>za</t>
  </si>
  <si>
    <t>Buffer conc.</t>
  </si>
  <si>
    <t>Acetate</t>
  </si>
  <si>
    <t>T</t>
  </si>
  <si>
    <t>A</t>
  </si>
  <si>
    <t>m</t>
  </si>
  <si>
    <t>Phosphate</t>
  </si>
  <si>
    <t>c</t>
  </si>
  <si>
    <t>Tris</t>
  </si>
  <si>
    <t>dpKa/dT</t>
  </si>
  <si>
    <t>/C</t>
  </si>
  <si>
    <t>HEPES</t>
  </si>
  <si>
    <t>Acid conc.</t>
  </si>
  <si>
    <t>M</t>
  </si>
  <si>
    <t>Citrate</t>
  </si>
  <si>
    <t>Base conc.</t>
  </si>
  <si>
    <t>Mixed</t>
  </si>
  <si>
    <t>Salt conc.</t>
  </si>
  <si>
    <t>Acetate,</t>
  </si>
  <si>
    <t>Charge</t>
  </si>
  <si>
    <t>Stoic</t>
  </si>
  <si>
    <t>Conc</t>
  </si>
  <si>
    <t>Na+</t>
  </si>
  <si>
    <t>H2PO4-</t>
  </si>
  <si>
    <t>2Na+</t>
  </si>
  <si>
    <t>(HPO4)2-</t>
  </si>
  <si>
    <t>Salt positive charge</t>
  </si>
  <si>
    <t>Salt negative charge</t>
  </si>
  <si>
    <t>Ionic strength</t>
  </si>
  <si>
    <t>pKa'</t>
  </si>
  <si>
    <t>Temp</t>
  </si>
  <si>
    <t>C</t>
  </si>
  <si>
    <t>To do</t>
  </si>
  <si>
    <t>pH</t>
  </si>
  <si>
    <t>Calculate conductivity</t>
  </si>
  <si>
    <t>Salts</t>
  </si>
  <si>
    <t>Acid solutions</t>
  </si>
  <si>
    <t>RMM</t>
  </si>
  <si>
    <t>g/mol</t>
  </si>
  <si>
    <t>Required concentration</t>
  </si>
  <si>
    <t>Concentration</t>
  </si>
  <si>
    <t>%</t>
  </si>
  <si>
    <t>Required volume</t>
  </si>
  <si>
    <t>L</t>
  </si>
  <si>
    <t>Required mass</t>
  </si>
  <si>
    <t>g</t>
  </si>
  <si>
    <t>Input</t>
  </si>
  <si>
    <t>Recipe</t>
  </si>
  <si>
    <t>Buffer system</t>
  </si>
  <si>
    <t>Tris + NaCl</t>
  </si>
  <si>
    <t>Component</t>
  </si>
  <si>
    <t>Mass</t>
  </si>
  <si>
    <t>Volume</t>
  </si>
  <si>
    <t xml:space="preserve">Use water to make up to </t>
  </si>
  <si>
    <t>Calculations</t>
  </si>
  <si>
    <t>Acid positive ion</t>
  </si>
  <si>
    <t xml:space="preserve">Acid negative ion </t>
  </si>
  <si>
    <t>Base positive ion</t>
  </si>
  <si>
    <t xml:space="preserve">Base negative ion </t>
  </si>
  <si>
    <t>Salt positive ion</t>
  </si>
  <si>
    <t xml:space="preserve">Salt negative ion </t>
  </si>
  <si>
    <t>Temperature</t>
  </si>
  <si>
    <t>Activity</t>
  </si>
  <si>
    <t>`</t>
  </si>
  <si>
    <t>Column1</t>
  </si>
  <si>
    <t>Charge of acid positive ion</t>
  </si>
  <si>
    <t xml:space="preserve">Charge of acid negative ion </t>
  </si>
  <si>
    <t>Charge of base positive ion</t>
  </si>
  <si>
    <t xml:space="preserve">Charge of base negative ion </t>
  </si>
  <si>
    <t>Charge of salt positive ion</t>
  </si>
  <si>
    <t xml:space="preserve">Charge of salt negative ion </t>
  </si>
  <si>
    <t>Stoic of acid positive ion</t>
  </si>
  <si>
    <t xml:space="preserve">Stoic of acid negative ion </t>
  </si>
  <si>
    <t>Stoic of base positive ion</t>
  </si>
  <si>
    <t xml:space="preserve">Stoic of base negative ion </t>
  </si>
  <si>
    <t>Stoic of salt positive ion</t>
  </si>
  <si>
    <t xml:space="preserve">Stoic of salt negative ion </t>
  </si>
  <si>
    <t>Acid name</t>
  </si>
  <si>
    <t>Base name</t>
  </si>
  <si>
    <t>Salt name</t>
  </si>
  <si>
    <t>Acid g/mol</t>
  </si>
  <si>
    <t>Base g/mol</t>
  </si>
  <si>
    <t>Salt g/mol</t>
  </si>
  <si>
    <t>Phosphate + NaCl</t>
  </si>
  <si>
    <t>Sodium phosphate monobasic dihydrate</t>
  </si>
  <si>
    <t>Sodium phosphate dibasic heptahydrate </t>
  </si>
  <si>
    <t>Sodium chloride</t>
  </si>
  <si>
    <t>Acetate + NaCl</t>
  </si>
  <si>
    <t>Acetic acid 99%</t>
  </si>
  <si>
    <t>Sodium acetate trihydrate</t>
  </si>
  <si>
    <t>Tris HCl</t>
  </si>
  <si>
    <t>Tris base</t>
  </si>
  <si>
    <r>
      <t>Phosphate + (NH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)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SO</t>
    </r>
    <r>
      <rPr>
        <b/>
        <vertAlign val="subscript"/>
        <sz val="10"/>
        <rFont val="Arial"/>
        <family val="2"/>
      </rPr>
      <t>4</t>
    </r>
  </si>
  <si>
    <t>Sodium phosphate monobasic monohydrate</t>
  </si>
  <si>
    <t>Ammonium sulphate</t>
  </si>
  <si>
    <r>
      <t>Tris + (NH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)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SO</t>
    </r>
    <r>
      <rPr>
        <b/>
        <vertAlign val="subscript"/>
        <sz val="10"/>
        <rFont val="Arial"/>
        <family val="2"/>
      </rPr>
      <t>4</t>
    </r>
  </si>
  <si>
    <t>MES + NaCl</t>
  </si>
  <si>
    <t>MES</t>
  </si>
  <si>
    <t>MES monohydrate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</si>
</sst>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b/>
      <i/>
      <sz val="10"/>
      <name val="Arial"/>
      <family val="2"/>
    </font>
    <font>
      <b/>
      <sz val="10"/>
      <name val="Arial"/>
      <family val="2"/>
    </font>
    <font>
      <b/>
      <i/>
      <u/>
      <sz val="10"/>
      <name val="Arial"/>
      <family val="2"/>
    </font>
    <font>
      <b/>
      <vertAlign val="subscript"/>
      <sz val="10"/>
      <name val="Arial"/>
      <family val="2"/>
    </font>
    <font>
      <sz val="8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wrapText="1" shrinkToFit="1"/>
    </xf>
    <xf numFmtId="0" fontId="1" fillId="0" borderId="0" xfId="0" applyFont="1"/>
    <xf numFmtId="0" fontId="0" fillId="0" borderId="0" xfId="0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3" fillId="0" borderId="4" xfId="0" applyFont="1" applyBorder="1"/>
    <xf numFmtId="0" fontId="3" fillId="0" borderId="6" xfId="0" applyFont="1" applyBorder="1"/>
    <xf numFmtId="0" fontId="2" fillId="0" borderId="4" xfId="0" applyFont="1" applyBorder="1"/>
    <xf numFmtId="0" fontId="2" fillId="0" borderId="6" xfId="0" applyFont="1" applyBorder="1"/>
    <xf numFmtId="0" fontId="3" fillId="0" borderId="4" xfId="0" applyFont="1" applyBorder="1" applyAlignment="1">
      <alignment wrapText="1"/>
    </xf>
    <xf numFmtId="0" fontId="3" fillId="0" borderId="0" xfId="0" applyFont="1"/>
    <xf numFmtId="0" fontId="3" fillId="0" borderId="5" xfId="0" applyFont="1" applyBorder="1"/>
    <xf numFmtId="0" fontId="2" fillId="0" borderId="0" xfId="0" applyFont="1"/>
    <xf numFmtId="0" fontId="0" fillId="0" borderId="6" xfId="0" applyBorder="1"/>
    <xf numFmtId="0" fontId="2" fillId="0" borderId="1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3" xfId="0" applyBorder="1"/>
    <xf numFmtId="0" fontId="3" fillId="0" borderId="1" xfId="0" applyFont="1" applyBorder="1"/>
    <xf numFmtId="0" fontId="2" fillId="0" borderId="0" xfId="0" applyFont="1" applyAlignment="1">
      <alignment wrapText="1"/>
    </xf>
    <xf numFmtId="0" fontId="2" fillId="0" borderId="7" xfId="0" applyFont="1" applyBorder="1"/>
    <xf numFmtId="2" fontId="0" fillId="0" borderId="0" xfId="0" applyNumberFormat="1"/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 shrinkToFit="1"/>
    </xf>
    <xf numFmtId="0" fontId="6" fillId="0" borderId="5" xfId="0" applyFont="1" applyBorder="1" applyAlignment="1">
      <alignment horizontal="center" shrinkToFit="1"/>
    </xf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9" defaultPivotStyle="PivotStyleMedium7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Phosphate!$I$4:$I$4</c:f>
              <c:strCache>
                <c:ptCount val="1"/>
                <c:pt idx="0">
                  <c:v>A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8"/>
            <c:spPr>
              <a:solidFill>
                <a:srgbClr val="EE4000"/>
              </a:solidFill>
            </c:spPr>
          </c:marker>
          <c:trendline>
            <c:spPr>
              <a:ln w="9360">
                <a:solidFill>
                  <a:srgbClr val="004586"/>
                </a:solidFill>
                <a:round/>
              </a:ln>
            </c:spPr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Phosphate!$H$5:$H$17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37</c:v>
                </c:pt>
                <c:pt idx="6">
                  <c:v>40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</c:numCache>
            </c:numRef>
          </c:xVal>
          <c:yVal>
            <c:numRef>
              <c:f>Phosphate!$I$5:$I$17</c:f>
              <c:numCache>
                <c:formatCode>General</c:formatCode>
                <c:ptCount val="13"/>
                <c:pt idx="0">
                  <c:v>0.49180000000000001</c:v>
                </c:pt>
                <c:pt idx="1">
                  <c:v>0.49890000000000001</c:v>
                </c:pt>
                <c:pt idx="2">
                  <c:v>0.50700000000000001</c:v>
                </c:pt>
                <c:pt idx="3">
                  <c:v>0.51139999999999997</c:v>
                </c:pt>
                <c:pt idx="4">
                  <c:v>0.5161</c:v>
                </c:pt>
                <c:pt idx="5">
                  <c:v>0.53210000000000002</c:v>
                </c:pt>
                <c:pt idx="6">
                  <c:v>0.5262</c:v>
                </c:pt>
                <c:pt idx="7">
                  <c:v>0.5373</c:v>
                </c:pt>
                <c:pt idx="8">
                  <c:v>0.5494</c:v>
                </c:pt>
                <c:pt idx="9">
                  <c:v>0.5625</c:v>
                </c:pt>
                <c:pt idx="10">
                  <c:v>0.57669999999999999</c:v>
                </c:pt>
                <c:pt idx="11">
                  <c:v>0.59199999999999997</c:v>
                </c:pt>
                <c:pt idx="12">
                  <c:v>0.60860000000000003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72-46F0-847F-32DD9E048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24224"/>
        <c:axId val="541324616"/>
      </c:scatterChart>
      <c:valAx>
        <c:axId val="54132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900" b="1">
                    <a:solidFill>
                      <a:srgbClr val="000000"/>
                    </a:solidFill>
                    <a:latin typeface="Arial"/>
                  </a:rPr>
                  <a:t>T</a:t>
                </a:r>
              </a:p>
            </c:rich>
          </c:tx>
          <c:overlay val="1"/>
        </c:title>
        <c:numFmt formatCode="General" sourceLinked="0"/>
        <c:majorTickMark val="out"/>
        <c:minorTickMark val="none"/>
        <c:tickLblPos val="nextTo"/>
        <c:spPr>
          <a:ln w="9360">
            <a:solidFill>
              <a:srgbClr val="B3B3B3"/>
            </a:solidFill>
            <a:round/>
          </a:ln>
        </c:spPr>
        <c:crossAx val="541324616"/>
        <c:crosses val="autoZero"/>
        <c:crossBetween val="midCat"/>
      </c:valAx>
      <c:valAx>
        <c:axId val="541324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sz="900" b="1">
                    <a:solidFill>
                      <a:srgbClr val="000000"/>
                    </a:solidFill>
                    <a:latin typeface="Arial"/>
                  </a:rPr>
                  <a:t>C</a:t>
                </a:r>
              </a:p>
            </c:rich>
          </c:tx>
          <c:overlay val="1"/>
        </c:title>
        <c:numFmt formatCode="General" sourceLinked="0"/>
        <c:majorTickMark val="out"/>
        <c:minorTickMark val="none"/>
        <c:tickLblPos val="nextTo"/>
        <c:spPr>
          <a:ln w="9360">
            <a:solidFill>
              <a:srgbClr val="B3B3B3"/>
            </a:solidFill>
            <a:round/>
          </a:ln>
        </c:spPr>
        <c:crossAx val="54132422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zero"/>
    <c:showDLblsOverMax val="1"/>
  </c:chart>
  <c:spPr>
    <a:solidFill>
      <a:srgbClr val="FFFFFF"/>
    </a:solidFill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noFill/>
            </a:ln>
          </c:spPr>
          <c:marker>
            <c:symbol val="square"/>
            <c:size val="8"/>
            <c:spPr>
              <a:solidFill>
                <a:srgbClr val="EE4000"/>
              </a:solidFill>
            </c:spPr>
          </c:marker>
          <c:trendline>
            <c:spPr>
              <a:ln w="9360">
                <a:solidFill>
                  <a:srgbClr val="004586"/>
                </a:solidFill>
                <a:round/>
              </a:ln>
            </c:spPr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DataLookup!$Y$3:$Y$15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37</c:v>
                </c:pt>
                <c:pt idx="6">
                  <c:v>40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</c:numCache>
            </c:numRef>
          </c:xVal>
          <c:yVal>
            <c:numRef>
              <c:f>DataLookup!$Z$3:$Z$15</c:f>
              <c:numCache>
                <c:formatCode>General</c:formatCode>
                <c:ptCount val="13"/>
                <c:pt idx="0">
                  <c:v>0.49180000000000001</c:v>
                </c:pt>
                <c:pt idx="1">
                  <c:v>0.49890000000000001</c:v>
                </c:pt>
                <c:pt idx="2">
                  <c:v>0.50700000000000001</c:v>
                </c:pt>
                <c:pt idx="3">
                  <c:v>0.51139999999999997</c:v>
                </c:pt>
                <c:pt idx="4">
                  <c:v>0.5161</c:v>
                </c:pt>
                <c:pt idx="5">
                  <c:v>0.53210000000000002</c:v>
                </c:pt>
                <c:pt idx="6">
                  <c:v>0.5262</c:v>
                </c:pt>
                <c:pt idx="7">
                  <c:v>0.5373</c:v>
                </c:pt>
                <c:pt idx="8">
                  <c:v>0.5494</c:v>
                </c:pt>
                <c:pt idx="9">
                  <c:v>0.5625</c:v>
                </c:pt>
                <c:pt idx="10">
                  <c:v>0.57669999999999999</c:v>
                </c:pt>
                <c:pt idx="11">
                  <c:v>0.59199999999999997</c:v>
                </c:pt>
                <c:pt idx="12">
                  <c:v>0.60860000000000003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F1-8F03-AC17382D6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25792"/>
        <c:axId val="541326184"/>
      </c:scatterChart>
      <c:valAx>
        <c:axId val="54132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900" b="1">
                    <a:solidFill>
                      <a:srgbClr val="000000"/>
                    </a:solidFill>
                    <a:latin typeface="Arial"/>
                  </a:rPr>
                  <a:t>T</a:t>
                </a:r>
              </a:p>
            </c:rich>
          </c:tx>
          <c:overlay val="1"/>
        </c:title>
        <c:numFmt formatCode="General" sourceLinked="0"/>
        <c:majorTickMark val="out"/>
        <c:minorTickMark val="none"/>
        <c:tickLblPos val="nextTo"/>
        <c:spPr>
          <a:ln w="9360">
            <a:solidFill>
              <a:srgbClr val="B3B3B3"/>
            </a:solidFill>
            <a:round/>
          </a:ln>
        </c:spPr>
        <c:crossAx val="541326184"/>
        <c:crosses val="autoZero"/>
        <c:crossBetween val="midCat"/>
      </c:valAx>
      <c:valAx>
        <c:axId val="541326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sz="900" b="1">
                    <a:solidFill>
                      <a:srgbClr val="000000"/>
                    </a:solidFill>
                    <a:latin typeface="Arial"/>
                  </a:rPr>
                  <a:t>C</a:t>
                </a:r>
              </a:p>
            </c:rich>
          </c:tx>
          <c:overlay val="1"/>
        </c:title>
        <c:numFmt formatCode="General" sourceLinked="0"/>
        <c:majorTickMark val="out"/>
        <c:minorTickMark val="none"/>
        <c:tickLblPos val="nextTo"/>
        <c:spPr>
          <a:ln w="9360">
            <a:solidFill>
              <a:srgbClr val="B3B3B3"/>
            </a:solidFill>
            <a:round/>
          </a:ln>
        </c:spPr>
        <c:crossAx val="54132579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zero"/>
    <c:showDLblsOverMax val="1"/>
  </c:chart>
  <c:spPr>
    <a:solidFill>
      <a:srgbClr val="FFFFFF"/>
    </a:solidFill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535680</xdr:colOff>
      <xdr:row>1</xdr:row>
      <xdr:rowOff>126360</xdr:rowOff>
    </xdr:from>
    <xdr:to>
      <xdr:col>20</xdr:col>
      <xdr:colOff>4725</xdr:colOff>
      <xdr:row>19</xdr:row>
      <xdr:rowOff>77760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1606550</xdr:colOff>
          <xdr:row>7</xdr:row>
          <xdr:rowOff>184150</xdr:rowOff>
        </xdr:from>
        <xdr:to>
          <xdr:col>3</xdr:col>
          <xdr:colOff>177800</xdr:colOff>
          <xdr:row>9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recipe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535680</xdr:colOff>
      <xdr:row>2</xdr:row>
      <xdr:rowOff>126360</xdr:rowOff>
    </xdr:from>
    <xdr:to>
      <xdr:col>37</xdr:col>
      <xdr:colOff>4724</xdr:colOff>
      <xdr:row>23</xdr:row>
      <xdr:rowOff>10027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W8" totalsRowShown="0" headerRowDxfId="2" tableBorderDxfId="1">
  <autoFilter ref="B2:W8" xr:uid="{00000000-0009-0000-0100-000001000000}"/>
  <tableColumns count="22">
    <tableColumn id="1" xr3:uid="{00000000-0010-0000-0000-000001000000}" name="Column1" dataDxfId="0"/>
    <tableColumn id="2" xr3:uid="{00000000-0010-0000-0000-000002000000}" name="pKa"/>
    <tableColumn id="3" xr3:uid="{00000000-0010-0000-0000-000003000000}" name="dpKa/dT"/>
    <tableColumn id="4" xr3:uid="{00000000-0010-0000-0000-000004000000}" name="Charge of acid positive ion"/>
    <tableColumn id="5" xr3:uid="{00000000-0010-0000-0000-000005000000}" name="Charge of acid negative ion "/>
    <tableColumn id="6" xr3:uid="{00000000-0010-0000-0000-000006000000}" name="Charge of base positive ion"/>
    <tableColumn id="7" xr3:uid="{00000000-0010-0000-0000-000007000000}" name="Charge of base negative ion "/>
    <tableColumn id="8" xr3:uid="{00000000-0010-0000-0000-000008000000}" name="Charge of salt positive ion"/>
    <tableColumn id="9" xr3:uid="{00000000-0010-0000-0000-000009000000}" name="Charge of salt negative ion "/>
    <tableColumn id="10" xr3:uid="{00000000-0010-0000-0000-00000A000000}" name="Stoic of acid positive ion"/>
    <tableColumn id="11" xr3:uid="{00000000-0010-0000-0000-00000B000000}" name="Stoic of acid negative ion "/>
    <tableColumn id="12" xr3:uid="{00000000-0010-0000-0000-00000C000000}" name="Stoic of base positive ion"/>
    <tableColumn id="13" xr3:uid="{00000000-0010-0000-0000-00000D000000}" name="Stoic of base negative ion "/>
    <tableColumn id="14" xr3:uid="{00000000-0010-0000-0000-00000E000000}" name="Stoic of salt positive ion"/>
    <tableColumn id="15" xr3:uid="{00000000-0010-0000-0000-00000F000000}" name="Stoic of salt negative ion "/>
    <tableColumn id="16" xr3:uid="{00000000-0010-0000-0000-000010000000}" name="za"/>
    <tableColumn id="17" xr3:uid="{00000000-0010-0000-0000-000011000000}" name="Acid name"/>
    <tableColumn id="18" xr3:uid="{00000000-0010-0000-0000-000012000000}" name="Base name"/>
    <tableColumn id="19" xr3:uid="{00000000-0010-0000-0000-000013000000}" name="Salt name"/>
    <tableColumn id="20" xr3:uid="{00000000-0010-0000-0000-000014000000}" name="Acid g/mol"/>
    <tableColumn id="21" xr3:uid="{00000000-0010-0000-0000-000015000000}" name="Base g/mol"/>
    <tableColumn id="22" xr3:uid="{00000000-0010-0000-0000-000016000000}" name="Salt g/mol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D36"/>
  <sheetViews>
    <sheetView zoomScale="125" zoomScaleNormal="125" zoomScalePageLayoutView="125" workbookViewId="0">
      <selection activeCell="I9" sqref="I9"/>
    </sheetView>
  </sheetViews>
  <sheetFormatPr defaultColWidth="8.5703125" defaultRowHeight="12.6"/>
  <sheetData>
    <row r="2" spans="2:30" ht="12" customHeight="1">
      <c r="W2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6</v>
      </c>
      <c r="AD2" s="1" t="s">
        <v>7</v>
      </c>
    </row>
    <row r="3" spans="2:30" ht="12" customHeight="1">
      <c r="B3" t="s">
        <v>8</v>
      </c>
      <c r="C3">
        <v>0.1</v>
      </c>
      <c r="V3" t="s">
        <v>9</v>
      </c>
      <c r="W3">
        <v>4.76</v>
      </c>
      <c r="X3">
        <v>1</v>
      </c>
      <c r="Y3">
        <v>-1</v>
      </c>
      <c r="Z3">
        <v>1</v>
      </c>
      <c r="AA3">
        <v>-1</v>
      </c>
      <c r="AB3">
        <v>1</v>
      </c>
      <c r="AC3">
        <v>-1</v>
      </c>
      <c r="AD3">
        <v>1</v>
      </c>
    </row>
    <row r="4" spans="2:30" ht="12" customHeight="1">
      <c r="H4" t="s">
        <v>10</v>
      </c>
      <c r="I4" t="s">
        <v>11</v>
      </c>
      <c r="K4" t="s">
        <v>12</v>
      </c>
      <c r="L4">
        <f>INDEX(LINEST(I5:I17,H5:H17),1)</f>
        <v>1.1643891807898443E-3</v>
      </c>
      <c r="V4" t="s">
        <v>13</v>
      </c>
      <c r="W4">
        <v>7.2</v>
      </c>
      <c r="X4">
        <v>1</v>
      </c>
      <c r="Y4">
        <v>-1</v>
      </c>
      <c r="Z4">
        <v>1</v>
      </c>
      <c r="AA4">
        <v>-2</v>
      </c>
      <c r="AB4">
        <v>1</v>
      </c>
      <c r="AC4">
        <v>-1</v>
      </c>
      <c r="AD4">
        <v>-1</v>
      </c>
    </row>
    <row r="5" spans="2:30" ht="12" customHeight="1">
      <c r="B5" t="s">
        <v>0</v>
      </c>
      <c r="C5">
        <v>7.2</v>
      </c>
      <c r="H5">
        <v>0</v>
      </c>
      <c r="I5">
        <v>0.49180000000000001</v>
      </c>
      <c r="K5" t="s">
        <v>14</v>
      </c>
      <c r="L5">
        <f>INDEX(LINEST(I5:I17,H5:H17),2)</f>
        <v>0.48441490933512421</v>
      </c>
      <c r="V5" t="s">
        <v>15</v>
      </c>
    </row>
    <row r="6" spans="2:30" ht="12" customHeight="1">
      <c r="B6" t="s">
        <v>16</v>
      </c>
      <c r="C6">
        <v>-2.8E-3</v>
      </c>
      <c r="D6" t="s">
        <v>17</v>
      </c>
      <c r="H6">
        <v>10</v>
      </c>
      <c r="I6">
        <v>0.49890000000000001</v>
      </c>
      <c r="V6" t="s">
        <v>18</v>
      </c>
    </row>
    <row r="7" spans="2:30" ht="12" customHeight="1">
      <c r="B7" t="s">
        <v>19</v>
      </c>
      <c r="C7">
        <v>3.61E-2</v>
      </c>
      <c r="D7" t="s">
        <v>20</v>
      </c>
      <c r="H7">
        <v>20</v>
      </c>
      <c r="I7">
        <v>0.50700000000000001</v>
      </c>
      <c r="V7" t="s">
        <v>21</v>
      </c>
    </row>
    <row r="8" spans="2:30" ht="12" customHeight="1">
      <c r="B8" t="s">
        <v>22</v>
      </c>
      <c r="C8">
        <f>C3-C7</f>
        <v>6.3900000000000012E-2</v>
      </c>
      <c r="D8" t="s">
        <v>20</v>
      </c>
      <c r="H8">
        <v>25</v>
      </c>
      <c r="I8">
        <v>0.51139999999999997</v>
      </c>
      <c r="V8" t="s">
        <v>23</v>
      </c>
    </row>
    <row r="9" spans="2:30" ht="12" customHeight="1">
      <c r="B9" t="s">
        <v>24</v>
      </c>
      <c r="C9">
        <f>45.221/58.44</f>
        <v>0.77380219028062969</v>
      </c>
      <c r="D9" t="s">
        <v>20</v>
      </c>
      <c r="H9">
        <v>30</v>
      </c>
      <c r="I9">
        <v>0.5161</v>
      </c>
      <c r="O9" t="s">
        <v>25</v>
      </c>
    </row>
    <row r="10" spans="2:30" ht="12" customHeight="1">
      <c r="C10" t="s">
        <v>26</v>
      </c>
      <c r="D10" t="s">
        <v>27</v>
      </c>
      <c r="E10" t="s">
        <v>28</v>
      </c>
      <c r="H10">
        <v>37</v>
      </c>
      <c r="I10">
        <v>0.53210000000000002</v>
      </c>
    </row>
    <row r="11" spans="2:30" ht="12" customHeight="1">
      <c r="B11" t="s">
        <v>29</v>
      </c>
      <c r="C11">
        <v>1</v>
      </c>
      <c r="D11">
        <v>1</v>
      </c>
      <c r="E11">
        <f>D11*C7*C11^2</f>
        <v>3.61E-2</v>
      </c>
      <c r="H11">
        <v>40</v>
      </c>
      <c r="I11">
        <v>0.5262</v>
      </c>
    </row>
    <row r="12" spans="2:30" ht="12" customHeight="1">
      <c r="B12" t="s">
        <v>30</v>
      </c>
      <c r="C12">
        <v>-1</v>
      </c>
      <c r="D12">
        <v>1</v>
      </c>
      <c r="E12">
        <f>D12*C7*C12^2</f>
        <v>3.61E-2</v>
      </c>
      <c r="H12">
        <v>50</v>
      </c>
      <c r="I12">
        <v>0.5373</v>
      </c>
    </row>
    <row r="13" spans="2:30" ht="12" customHeight="1">
      <c r="B13" t="s">
        <v>31</v>
      </c>
      <c r="C13">
        <v>1</v>
      </c>
      <c r="D13">
        <v>2</v>
      </c>
      <c r="E13">
        <f>D13*C8*C13^2</f>
        <v>0.12780000000000002</v>
      </c>
      <c r="H13">
        <v>60</v>
      </c>
      <c r="I13">
        <v>0.5494</v>
      </c>
    </row>
    <row r="14" spans="2:30" ht="12" customHeight="1">
      <c r="B14" t="s">
        <v>32</v>
      </c>
      <c r="C14">
        <v>-2</v>
      </c>
      <c r="D14">
        <v>1</v>
      </c>
      <c r="E14">
        <f>D14*C8*C14^2</f>
        <v>0.25560000000000005</v>
      </c>
      <c r="H14">
        <v>70</v>
      </c>
      <c r="I14">
        <v>0.5625</v>
      </c>
    </row>
    <row r="15" spans="2:30" ht="12" customHeight="1">
      <c r="B15" t="s">
        <v>33</v>
      </c>
      <c r="C15">
        <v>1</v>
      </c>
      <c r="D15">
        <v>1</v>
      </c>
      <c r="E15">
        <f>D15*C9*C15^2</f>
        <v>0.77380219028062969</v>
      </c>
      <c r="H15">
        <v>80</v>
      </c>
      <c r="I15">
        <v>0.57669999999999999</v>
      </c>
    </row>
    <row r="16" spans="2:30" ht="12" customHeight="1">
      <c r="B16" t="s">
        <v>34</v>
      </c>
      <c r="C16">
        <v>-1</v>
      </c>
      <c r="D16">
        <v>1</v>
      </c>
      <c r="E16">
        <f>D16*C9*C16^2</f>
        <v>0.77380219028062969</v>
      </c>
      <c r="H16">
        <v>90</v>
      </c>
      <c r="I16">
        <v>0.59199999999999997</v>
      </c>
    </row>
    <row r="17" spans="2:9" ht="12" customHeight="1">
      <c r="B17" t="s">
        <v>7</v>
      </c>
      <c r="C17">
        <v>-1</v>
      </c>
      <c r="H17">
        <v>100</v>
      </c>
      <c r="I17">
        <v>0.60860000000000003</v>
      </c>
    </row>
    <row r="18" spans="2:9" ht="12" customHeight="1">
      <c r="B18" t="s">
        <v>35</v>
      </c>
      <c r="C18">
        <f>SUM(E11:E16)/2</f>
        <v>1.0016021902806298</v>
      </c>
    </row>
    <row r="20" spans="2:9" ht="12" customHeight="1">
      <c r="B20" t="s">
        <v>36</v>
      </c>
      <c r="C20">
        <f>C5+(2*C17-1)*((C28*SQRT(C18)/(1+SQRT(C18)))-0.1*C18)+C6*(C27-25)</f>
        <v>6.7526218231583028</v>
      </c>
    </row>
    <row r="27" spans="2:9" ht="12" customHeight="1">
      <c r="B27" t="s">
        <v>37</v>
      </c>
      <c r="C27">
        <v>20</v>
      </c>
      <c r="D27" t="s">
        <v>38</v>
      </c>
    </row>
    <row r="28" spans="2:9" ht="12" customHeight="1">
      <c r="B28" t="s">
        <v>11</v>
      </c>
      <c r="C28">
        <f>$L$4*C27+$L$5</f>
        <v>0.50770269295092108</v>
      </c>
    </row>
    <row r="34" spans="2:14" ht="12" customHeight="1">
      <c r="N34" s="2" t="s">
        <v>39</v>
      </c>
    </row>
    <row r="36" spans="2:14" ht="12" customHeight="1">
      <c r="B36" t="s">
        <v>40</v>
      </c>
      <c r="C36">
        <f>C20+LOG(C8/C7,10)</f>
        <v>7.0006154794110449</v>
      </c>
      <c r="N36" t="s">
        <v>41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I8"/>
  <sheetViews>
    <sheetView workbookViewId="0">
      <selection activeCell="F15" sqref="F15"/>
    </sheetView>
  </sheetViews>
  <sheetFormatPr defaultRowHeight="12.6"/>
  <cols>
    <col min="2" max="2" width="22.5703125" bestFit="1" customWidth="1"/>
    <col min="7" max="7" width="22.5703125" bestFit="1" customWidth="1"/>
  </cols>
  <sheetData>
    <row r="1" spans="2:9" ht="12.95" thickBot="1"/>
    <row r="2" spans="2:9" ht="12.95">
      <c r="B2" s="24" t="s">
        <v>42</v>
      </c>
      <c r="C2" s="25"/>
      <c r="D2" s="26"/>
      <c r="G2" s="24" t="s">
        <v>43</v>
      </c>
      <c r="H2" s="25"/>
      <c r="I2" s="26"/>
    </row>
    <row r="3" spans="2:9" ht="12.95">
      <c r="B3" s="8" t="s">
        <v>44</v>
      </c>
      <c r="C3">
        <v>132.13999999999999</v>
      </c>
      <c r="D3" s="5" t="s">
        <v>45</v>
      </c>
      <c r="G3" s="8" t="s">
        <v>44</v>
      </c>
      <c r="H3">
        <v>60.05</v>
      </c>
      <c r="I3" s="5" t="s">
        <v>45</v>
      </c>
    </row>
    <row r="4" spans="2:9" ht="12.95">
      <c r="B4" s="8" t="s">
        <v>46</v>
      </c>
      <c r="C4">
        <v>2.5</v>
      </c>
      <c r="D4" s="5" t="s">
        <v>20</v>
      </c>
      <c r="G4" s="8" t="s">
        <v>47</v>
      </c>
      <c r="H4">
        <v>99.7</v>
      </c>
      <c r="I4" s="5" t="s">
        <v>48</v>
      </c>
    </row>
    <row r="5" spans="2:9" ht="12.95">
      <c r="B5" s="8" t="s">
        <v>49</v>
      </c>
      <c r="C5">
        <v>0.1</v>
      </c>
      <c r="D5" s="5" t="s">
        <v>50</v>
      </c>
      <c r="G5" s="8" t="s">
        <v>46</v>
      </c>
      <c r="H5">
        <v>0.1</v>
      </c>
      <c r="I5" s="5" t="s">
        <v>20</v>
      </c>
    </row>
    <row r="6" spans="2:9" ht="12.95">
      <c r="B6" s="8"/>
      <c r="D6" s="5"/>
      <c r="G6" s="8" t="s">
        <v>49</v>
      </c>
      <c r="H6">
        <v>1</v>
      </c>
      <c r="I6" s="5" t="s">
        <v>50</v>
      </c>
    </row>
    <row r="7" spans="2:9" ht="13.5" thickBot="1">
      <c r="B7" s="9" t="s">
        <v>51</v>
      </c>
      <c r="C7" s="6">
        <f>C4*C5*C3</f>
        <v>33.034999999999997</v>
      </c>
      <c r="D7" s="7" t="s">
        <v>52</v>
      </c>
      <c r="G7" s="8"/>
      <c r="I7" s="5"/>
    </row>
    <row r="8" spans="2:9" ht="13.5" thickBot="1">
      <c r="G8" s="9" t="s">
        <v>51</v>
      </c>
      <c r="H8" s="6">
        <f>H5*H6*H3/H4*100</f>
        <v>6.0230692076228687</v>
      </c>
      <c r="I8" s="7" t="s">
        <v>52</v>
      </c>
    </row>
  </sheetData>
  <mergeCells count="2">
    <mergeCell ref="B2:D2"/>
    <mergeCell ref="G2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O32"/>
  <sheetViews>
    <sheetView tabSelected="1" zoomScale="90" zoomScaleNormal="90" workbookViewId="0">
      <selection activeCell="C3" sqref="C3:D3"/>
    </sheetView>
  </sheetViews>
  <sheetFormatPr defaultColWidth="8.5703125" defaultRowHeight="12.6"/>
  <cols>
    <col min="2" max="2" width="18" bestFit="1" customWidth="1"/>
    <col min="8" max="8" width="42.140625" customWidth="1"/>
    <col min="9" max="9" width="0.42578125" customWidth="1"/>
    <col min="12" max="12" width="12.5703125" bestFit="1" customWidth="1"/>
  </cols>
  <sheetData>
    <row r="1" spans="2:11" ht="12.95" thickBot="1"/>
    <row r="2" spans="2:11" ht="12.95">
      <c r="B2" s="24" t="s">
        <v>53</v>
      </c>
      <c r="C2" s="25"/>
      <c r="D2" s="26"/>
      <c r="H2" s="24" t="s">
        <v>54</v>
      </c>
      <c r="I2" s="25"/>
      <c r="J2" s="25"/>
      <c r="K2" s="26"/>
    </row>
    <row r="3" spans="2:11" ht="12.95">
      <c r="B3" s="10" t="s">
        <v>55</v>
      </c>
      <c r="C3" s="27" t="s">
        <v>56</v>
      </c>
      <c r="D3" s="28"/>
      <c r="H3" s="10" t="s">
        <v>57</v>
      </c>
      <c r="I3" s="15"/>
      <c r="J3" s="15" t="s">
        <v>58</v>
      </c>
      <c r="K3" s="5"/>
    </row>
    <row r="4" spans="2:11" ht="12.95">
      <c r="B4" s="10" t="s">
        <v>40</v>
      </c>
      <c r="C4">
        <v>8</v>
      </c>
      <c r="D4" s="5"/>
      <c r="H4" s="4" t="str">
        <f>VLOOKUP(C3,DataLookup!B2:W8,17,FALSE)</f>
        <v>Tris HCl</v>
      </c>
      <c r="J4">
        <f>ROUND(C15*C7*VLOOKUP(C3,Table1[],20,FALSE),2)</f>
        <v>10.48</v>
      </c>
      <c r="K4" s="5" t="s">
        <v>52</v>
      </c>
    </row>
    <row r="5" spans="2:11" ht="12.95">
      <c r="B5" s="10" t="s">
        <v>8</v>
      </c>
      <c r="C5">
        <v>0.1</v>
      </c>
      <c r="D5" s="5" t="s">
        <v>20</v>
      </c>
      <c r="H5" s="4" t="str">
        <f>VLOOKUP(C3,DataLookup!B2:W8,18,FALSE)</f>
        <v>Tris base</v>
      </c>
      <c r="J5" s="23">
        <f>ROUND(C16*C7*VLOOKUP(C3,Table1[],21,FALSE),2)</f>
        <v>4.0599999999999996</v>
      </c>
      <c r="K5" s="5" t="s">
        <v>52</v>
      </c>
    </row>
    <row r="6" spans="2:11" ht="12.95">
      <c r="B6" s="10" t="s">
        <v>24</v>
      </c>
      <c r="C6">
        <v>0</v>
      </c>
      <c r="D6" s="5" t="s">
        <v>20</v>
      </c>
      <c r="H6" s="4" t="str">
        <f>VLOOKUP(C3,DataLookup!B2:W8,19,FALSE)</f>
        <v>Sodium chloride</v>
      </c>
      <c r="J6">
        <f>ROUND(C6*C7*VLOOKUP(C3,Table1[],22,FALSE),2)</f>
        <v>0</v>
      </c>
      <c r="K6" s="5" t="s">
        <v>52</v>
      </c>
    </row>
    <row r="7" spans="2:11" ht="13.5" thickBot="1">
      <c r="B7" s="11" t="s">
        <v>59</v>
      </c>
      <c r="C7" s="6">
        <v>1</v>
      </c>
      <c r="D7" s="7" t="s">
        <v>50</v>
      </c>
      <c r="H7" s="11" t="s">
        <v>60</v>
      </c>
      <c r="I7" s="22"/>
      <c r="J7" s="6">
        <f>C7*1000</f>
        <v>1000</v>
      </c>
      <c r="K7" s="7" t="s">
        <v>52</v>
      </c>
    </row>
    <row r="11" spans="2:11" ht="12.95" thickBot="1"/>
    <row r="12" spans="2:11" ht="12.95">
      <c r="B12" s="24" t="s">
        <v>61</v>
      </c>
      <c r="C12" s="25"/>
      <c r="D12" s="25"/>
      <c r="E12" s="26"/>
    </row>
    <row r="13" spans="2:11" ht="12.95">
      <c r="B13" s="8" t="s">
        <v>0</v>
      </c>
      <c r="C13">
        <f>VLOOKUP(C3,DataLookup!B2:Q8,2,FALSE)</f>
        <v>8.06</v>
      </c>
      <c r="E13" s="5"/>
    </row>
    <row r="14" spans="2:11" ht="12.95">
      <c r="B14" s="8" t="s">
        <v>16</v>
      </c>
      <c r="C14">
        <f>VLOOKUP(C3,DataLookup!B3:Q8,3,FALSE)</f>
        <v>-2.8000000000000001E-2</v>
      </c>
      <c r="D14" t="s">
        <v>17</v>
      </c>
      <c r="E14" s="5"/>
    </row>
    <row r="15" spans="2:11" ht="12.95">
      <c r="B15" s="8" t="s">
        <v>19</v>
      </c>
      <c r="C15">
        <v>6.6481433293685999E-2</v>
      </c>
      <c r="D15" t="s">
        <v>20</v>
      </c>
      <c r="E15" s="5"/>
    </row>
    <row r="16" spans="2:11" ht="12.95">
      <c r="B16" s="8" t="s">
        <v>22</v>
      </c>
      <c r="C16">
        <f>C5-C15</f>
        <v>3.3518566706314007E-2</v>
      </c>
      <c r="D16" t="s">
        <v>20</v>
      </c>
      <c r="E16" s="5"/>
    </row>
    <row r="17" spans="2:15">
      <c r="B17" s="4"/>
      <c r="E17" s="5"/>
      <c r="K17" s="3"/>
      <c r="L17" s="3"/>
      <c r="M17" s="3"/>
      <c r="N17" s="3"/>
      <c r="O17" s="3"/>
    </row>
    <row r="18" spans="2:15" ht="12.95">
      <c r="B18" s="4"/>
      <c r="C18" s="13" t="s">
        <v>26</v>
      </c>
      <c r="D18" s="13" t="s">
        <v>27</v>
      </c>
      <c r="E18" s="14" t="s">
        <v>28</v>
      </c>
      <c r="K18" s="3"/>
      <c r="L18" s="3"/>
      <c r="M18" s="3"/>
      <c r="N18" s="3"/>
      <c r="O18" s="3"/>
    </row>
    <row r="19" spans="2:15" ht="12.95">
      <c r="B19" s="12" t="s">
        <v>62</v>
      </c>
      <c r="C19">
        <f>VLOOKUP(C3,Table1[],4,FALSE)</f>
        <v>1</v>
      </c>
      <c r="D19">
        <f>VLOOKUP(C3,Table1[],10,FALSE)</f>
        <v>1</v>
      </c>
      <c r="E19" s="5">
        <f>D19*C15*C19^2</f>
        <v>6.6481433293685999E-2</v>
      </c>
      <c r="K19" s="3"/>
      <c r="L19" s="3"/>
      <c r="M19" s="3"/>
      <c r="N19" s="3"/>
      <c r="O19" s="3"/>
    </row>
    <row r="20" spans="2:15" ht="12.95">
      <c r="B20" s="12" t="s">
        <v>63</v>
      </c>
      <c r="C20">
        <f>VLOOKUP(C3,Table1[],5,FALSE)</f>
        <v>-1</v>
      </c>
      <c r="D20">
        <f>VLOOKUP(C3,Table1[],11,FALSE)</f>
        <v>1</v>
      </c>
      <c r="E20" s="5">
        <f>D20*C15*C20^2</f>
        <v>6.6481433293685999E-2</v>
      </c>
      <c r="K20" s="3"/>
      <c r="L20" s="3"/>
      <c r="M20" s="3"/>
      <c r="N20" s="3"/>
      <c r="O20" s="3"/>
    </row>
    <row r="21" spans="2:15" ht="12.95">
      <c r="B21" s="12" t="s">
        <v>64</v>
      </c>
      <c r="C21">
        <f>VLOOKUP(C3,Table1[],6,FALSE)</f>
        <v>0</v>
      </c>
      <c r="D21">
        <f>VLOOKUP(C3,Table1[],12,FALSE)</f>
        <v>1</v>
      </c>
      <c r="E21" s="5">
        <f>D21*C16*C21^2</f>
        <v>0</v>
      </c>
      <c r="K21" s="3"/>
      <c r="L21" s="3"/>
      <c r="M21" s="3"/>
      <c r="N21" s="3"/>
      <c r="O21" s="3"/>
    </row>
    <row r="22" spans="2:15" ht="12.95">
      <c r="B22" s="12" t="s">
        <v>65</v>
      </c>
      <c r="C22">
        <f>VLOOKUP(C3,Table1[],7,FALSE)</f>
        <v>0</v>
      </c>
      <c r="D22">
        <f>VLOOKUP(C3,Table1[],13,FALSE)</f>
        <v>1</v>
      </c>
      <c r="E22" s="5">
        <f>D22*C16*C22^2</f>
        <v>0</v>
      </c>
      <c r="K22" s="3"/>
      <c r="L22" s="3"/>
      <c r="M22" s="3"/>
      <c r="N22" s="3"/>
      <c r="O22" s="3"/>
    </row>
    <row r="23" spans="2:15" ht="12.95">
      <c r="B23" s="12" t="s">
        <v>66</v>
      </c>
      <c r="C23">
        <f>VLOOKUP(C3,Table1[],8,FALSE)</f>
        <v>1</v>
      </c>
      <c r="D23">
        <f>VLOOKUP(C3,Table1[],14,FALSE)</f>
        <v>1</v>
      </c>
      <c r="E23" s="5">
        <f>D23*C6*C23^2</f>
        <v>0</v>
      </c>
      <c r="K23" s="3"/>
      <c r="L23" s="3"/>
      <c r="M23" s="3"/>
      <c r="N23" s="3"/>
      <c r="O23" s="3"/>
    </row>
    <row r="24" spans="2:15" ht="12.95">
      <c r="B24" s="12" t="s">
        <v>67</v>
      </c>
      <c r="C24">
        <f>VLOOKUP(C3,Table1[],9,FALSE)</f>
        <v>-1</v>
      </c>
      <c r="D24">
        <f>VLOOKUP(C3,Table1[],15,FALSE)</f>
        <v>1</v>
      </c>
      <c r="E24" s="5">
        <f>D24*C6*C24^2</f>
        <v>0</v>
      </c>
    </row>
    <row r="25" spans="2:15">
      <c r="B25" s="4"/>
      <c r="E25" s="5"/>
    </row>
    <row r="26" spans="2:15" ht="12.95">
      <c r="B26" s="8" t="s">
        <v>7</v>
      </c>
      <c r="C26">
        <f>VLOOKUP(C3,Table1[],16,FALSE)</f>
        <v>1</v>
      </c>
      <c r="E26" s="5"/>
    </row>
    <row r="27" spans="2:15" ht="12.95">
      <c r="B27" s="8" t="s">
        <v>35</v>
      </c>
      <c r="C27">
        <f>SUM(E19:E24)/2</f>
        <v>6.6481433293685999E-2</v>
      </c>
      <c r="D27" t="s">
        <v>20</v>
      </c>
      <c r="E27" s="5"/>
    </row>
    <row r="28" spans="2:15" ht="12.95">
      <c r="B28" s="8" t="s">
        <v>68</v>
      </c>
      <c r="C28">
        <v>20</v>
      </c>
      <c r="D28" t="s">
        <v>38</v>
      </c>
      <c r="E28" s="5"/>
    </row>
    <row r="29" spans="2:15" ht="12.95">
      <c r="B29" s="8" t="s">
        <v>69</v>
      </c>
      <c r="C29">
        <f>DataLookup!$AC$4*C28+DataLookup!$AC$5</f>
        <v>0.50770269295092108</v>
      </c>
      <c r="E29" s="5"/>
    </row>
    <row r="30" spans="2:15" ht="12.95">
      <c r="B30" s="8"/>
      <c r="E30" s="5"/>
      <c r="G30" t="s">
        <v>70</v>
      </c>
    </row>
    <row r="31" spans="2:15" ht="12.95">
      <c r="B31" s="8" t="s">
        <v>36</v>
      </c>
      <c r="C31">
        <f>C13+(2*C26-1)*((C29*SQRT(C27)/(1+SQRT(C27)))-0.1*C27)+C14*(C28-25)</f>
        <v>8.2974239461763073</v>
      </c>
      <c r="E31" s="5"/>
    </row>
    <row r="32" spans="2:15" ht="13.5" thickBot="1">
      <c r="B32" s="9" t="s">
        <v>40</v>
      </c>
      <c r="C32" s="6">
        <f>C31+LOG(C16/C15,10)</f>
        <v>8.0000090116187916</v>
      </c>
      <c r="D32" s="6"/>
      <c r="E32" s="7"/>
    </row>
  </sheetData>
  <mergeCells count="4">
    <mergeCell ref="B12:E12"/>
    <mergeCell ref="B2:D2"/>
    <mergeCell ref="H2:K2"/>
    <mergeCell ref="C3:D3"/>
  </mergeCells>
  <dataValidations count="1">
    <dataValidation type="list" allowBlank="1" showInputMessage="1" showErrorMessage="1" sqref="C3" xr:uid="{00000000-0002-0000-0200-000000000000}">
      <formula1>BufferSystems</formula1>
    </dataValidation>
  </dataValidations>
  <pageMargins left="0.75" right="0.75" top="1" bottom="1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CalcRecipe">
                <anchor moveWithCells="1">
                  <from>
                    <xdr:col>1</xdr:col>
                    <xdr:colOff>1606550</xdr:colOff>
                    <xdr:row>7</xdr:row>
                    <xdr:rowOff>184150</xdr:rowOff>
                  </from>
                  <to>
                    <xdr:col>3</xdr:col>
                    <xdr:colOff>177800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AF15"/>
  <sheetViews>
    <sheetView zoomScale="90" zoomScaleNormal="90" workbookViewId="0">
      <selection activeCell="T9" sqref="T9"/>
    </sheetView>
  </sheetViews>
  <sheetFormatPr defaultColWidth="8.5703125" defaultRowHeight="12.6"/>
  <cols>
    <col min="2" max="2" width="21.85546875" bestFit="1" customWidth="1"/>
    <col min="4" max="16" width="8.5703125" customWidth="1"/>
    <col min="18" max="18" width="41" bestFit="1" customWidth="1"/>
    <col min="19" max="19" width="37.5703125" bestFit="1" customWidth="1"/>
    <col min="20" max="20" width="19.5703125" bestFit="1" customWidth="1"/>
    <col min="21" max="23" width="8.5703125" customWidth="1"/>
  </cols>
  <sheetData>
    <row r="1" spans="2:32" ht="12.95" thickBot="1"/>
    <row r="2" spans="2:32" s="3" customFormat="1" ht="51.95">
      <c r="B2" s="21" t="s">
        <v>71</v>
      </c>
      <c r="C2" s="21" t="s">
        <v>0</v>
      </c>
      <c r="D2" s="21" t="s">
        <v>16</v>
      </c>
      <c r="E2" s="21" t="s">
        <v>72</v>
      </c>
      <c r="F2" s="21" t="s">
        <v>73</v>
      </c>
      <c r="G2" s="21" t="s">
        <v>74</v>
      </c>
      <c r="H2" s="21" t="s">
        <v>75</v>
      </c>
      <c r="I2" s="21" t="s">
        <v>76</v>
      </c>
      <c r="J2" s="21" t="s">
        <v>77</v>
      </c>
      <c r="K2" s="21" t="s">
        <v>78</v>
      </c>
      <c r="L2" s="21" t="s">
        <v>79</v>
      </c>
      <c r="M2" s="21" t="s">
        <v>80</v>
      </c>
      <c r="N2" s="21" t="s">
        <v>81</v>
      </c>
      <c r="O2" s="21" t="s">
        <v>82</v>
      </c>
      <c r="P2" s="21" t="s">
        <v>83</v>
      </c>
      <c r="Q2" s="21" t="s">
        <v>7</v>
      </c>
      <c r="R2" s="21" t="s">
        <v>84</v>
      </c>
      <c r="S2" s="21" t="s">
        <v>85</v>
      </c>
      <c r="T2" s="21" t="s">
        <v>86</v>
      </c>
      <c r="U2" s="21" t="s">
        <v>87</v>
      </c>
      <c r="V2" s="21" t="s">
        <v>88</v>
      </c>
      <c r="W2" s="21" t="s">
        <v>89</v>
      </c>
      <c r="Y2" s="17" t="s">
        <v>10</v>
      </c>
      <c r="Z2" s="18" t="s">
        <v>11</v>
      </c>
    </row>
    <row r="3" spans="2:32" ht="13.5" thickBot="1">
      <c r="B3" s="13" t="s">
        <v>90</v>
      </c>
      <c r="C3">
        <v>7.2</v>
      </c>
      <c r="D3">
        <v>-2.8E-3</v>
      </c>
      <c r="E3">
        <v>1</v>
      </c>
      <c r="F3">
        <v>-1</v>
      </c>
      <c r="G3">
        <v>1</v>
      </c>
      <c r="H3">
        <v>-2</v>
      </c>
      <c r="I3">
        <v>1</v>
      </c>
      <c r="J3">
        <v>-1</v>
      </c>
      <c r="K3">
        <v>1</v>
      </c>
      <c r="L3">
        <v>1</v>
      </c>
      <c r="M3">
        <v>2</v>
      </c>
      <c r="N3">
        <v>1</v>
      </c>
      <c r="O3">
        <v>1</v>
      </c>
      <c r="P3">
        <v>1</v>
      </c>
      <c r="Q3">
        <v>-1</v>
      </c>
      <c r="R3" t="s">
        <v>91</v>
      </c>
      <c r="S3" t="s">
        <v>92</v>
      </c>
      <c r="T3" t="s">
        <v>93</v>
      </c>
      <c r="U3">
        <v>156.02000000000001</v>
      </c>
      <c r="V3">
        <v>268.07</v>
      </c>
      <c r="W3">
        <v>58.44</v>
      </c>
      <c r="Y3" s="4">
        <v>0</v>
      </c>
      <c r="Z3" s="5">
        <v>0.49180000000000001</v>
      </c>
    </row>
    <row r="4" spans="2:32" ht="12.95">
      <c r="B4" s="13" t="s">
        <v>94</v>
      </c>
      <c r="C4">
        <v>4.76</v>
      </c>
      <c r="D4">
        <v>-2.0000000000000001E-4</v>
      </c>
      <c r="E4">
        <v>0</v>
      </c>
      <c r="F4">
        <v>0</v>
      </c>
      <c r="G4">
        <v>1</v>
      </c>
      <c r="H4">
        <v>-1</v>
      </c>
      <c r="I4">
        <v>1</v>
      </c>
      <c r="J4">
        <v>-1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 t="s">
        <v>95</v>
      </c>
      <c r="S4" t="s">
        <v>96</v>
      </c>
      <c r="T4" t="s">
        <v>93</v>
      </c>
      <c r="U4">
        <f>60.05/0.99</f>
        <v>60.656565656565654</v>
      </c>
      <c r="V4">
        <v>136.08000000000001</v>
      </c>
      <c r="W4">
        <v>58.44</v>
      </c>
      <c r="Y4" s="4">
        <v>10</v>
      </c>
      <c r="Z4" s="5">
        <v>0.49890000000000001</v>
      </c>
      <c r="AB4" s="20" t="s">
        <v>12</v>
      </c>
      <c r="AC4" s="19">
        <f>INDEX(LINEST(Z3:Z15,Y3:Y15),1)</f>
        <v>1.1643891807898443E-3</v>
      </c>
    </row>
    <row r="5" spans="2:32" ht="13.5" thickBot="1">
      <c r="B5" s="13" t="s">
        <v>56</v>
      </c>
      <c r="C5">
        <v>8.06</v>
      </c>
      <c r="D5">
        <v>-2.8000000000000001E-2</v>
      </c>
      <c r="E5">
        <v>1</v>
      </c>
      <c r="F5">
        <v>-1</v>
      </c>
      <c r="G5">
        <v>0</v>
      </c>
      <c r="H5">
        <v>0</v>
      </c>
      <c r="I5">
        <v>1</v>
      </c>
      <c r="J5">
        <v>-1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 t="s">
        <v>97</v>
      </c>
      <c r="S5" t="s">
        <v>98</v>
      </c>
      <c r="T5" t="s">
        <v>93</v>
      </c>
      <c r="U5">
        <v>157.6</v>
      </c>
      <c r="V5">
        <v>121.14</v>
      </c>
      <c r="W5">
        <v>58.44</v>
      </c>
      <c r="Y5" s="4">
        <v>20</v>
      </c>
      <c r="Z5" s="5">
        <v>0.50700000000000001</v>
      </c>
      <c r="AB5" s="9" t="s">
        <v>14</v>
      </c>
      <c r="AC5" s="7">
        <f>INDEX(LINEST(Z3:Z15,Y3:Y15),2)</f>
        <v>0.48441490933512421</v>
      </c>
    </row>
    <row r="6" spans="2:32" ht="15">
      <c r="B6" s="13" t="s">
        <v>99</v>
      </c>
      <c r="C6">
        <v>7.2</v>
      </c>
      <c r="D6">
        <v>-2.8E-3</v>
      </c>
      <c r="E6">
        <v>1</v>
      </c>
      <c r="F6">
        <v>-1</v>
      </c>
      <c r="G6">
        <v>1</v>
      </c>
      <c r="H6">
        <v>-2</v>
      </c>
      <c r="I6">
        <v>1</v>
      </c>
      <c r="J6">
        <v>-2</v>
      </c>
      <c r="K6">
        <v>1</v>
      </c>
      <c r="L6">
        <v>1</v>
      </c>
      <c r="M6">
        <v>2</v>
      </c>
      <c r="N6">
        <v>1</v>
      </c>
      <c r="O6">
        <v>2</v>
      </c>
      <c r="P6">
        <v>1</v>
      </c>
      <c r="Q6">
        <v>-1</v>
      </c>
      <c r="R6" t="s">
        <v>100</v>
      </c>
      <c r="S6" t="s">
        <v>92</v>
      </c>
      <c r="T6" t="s">
        <v>101</v>
      </c>
      <c r="U6">
        <v>137.99</v>
      </c>
      <c r="V6">
        <v>268.07</v>
      </c>
      <c r="W6">
        <v>132.13999999999999</v>
      </c>
      <c r="Y6" s="4">
        <v>25</v>
      </c>
      <c r="Z6" s="5">
        <v>0.51139999999999997</v>
      </c>
    </row>
    <row r="7" spans="2:32" ht="15">
      <c r="B7" s="13" t="s">
        <v>102</v>
      </c>
      <c r="C7">
        <v>8.06</v>
      </c>
      <c r="D7">
        <v>-2.8000000000000001E-2</v>
      </c>
      <c r="E7">
        <v>1</v>
      </c>
      <c r="F7">
        <v>-1</v>
      </c>
      <c r="G7">
        <v>0</v>
      </c>
      <c r="H7">
        <v>0</v>
      </c>
      <c r="I7">
        <v>1</v>
      </c>
      <c r="J7">
        <v>-2</v>
      </c>
      <c r="K7">
        <v>1</v>
      </c>
      <c r="L7">
        <v>1</v>
      </c>
      <c r="M7">
        <v>1</v>
      </c>
      <c r="N7">
        <v>1</v>
      </c>
      <c r="O7">
        <v>2</v>
      </c>
      <c r="P7">
        <v>1</v>
      </c>
      <c r="Q7">
        <v>1</v>
      </c>
      <c r="R7" t="s">
        <v>97</v>
      </c>
      <c r="S7" t="s">
        <v>98</v>
      </c>
      <c r="T7" t="s">
        <v>101</v>
      </c>
      <c r="U7">
        <v>157.6</v>
      </c>
      <c r="V7">
        <v>121.14</v>
      </c>
      <c r="W7">
        <v>132.13999999999999</v>
      </c>
      <c r="Y7" s="4">
        <v>30</v>
      </c>
      <c r="Z7" s="5">
        <v>0.5161</v>
      </c>
    </row>
    <row r="8" spans="2:32" ht="12.95">
      <c r="B8" s="13" t="s">
        <v>103</v>
      </c>
      <c r="C8">
        <v>6.21</v>
      </c>
      <c r="D8">
        <v>-1.0999999999999999E-2</v>
      </c>
      <c r="E8">
        <v>0</v>
      </c>
      <c r="F8">
        <v>0</v>
      </c>
      <c r="G8">
        <v>-1</v>
      </c>
      <c r="H8">
        <v>0</v>
      </c>
      <c r="I8">
        <v>1</v>
      </c>
      <c r="J8">
        <v>-1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 t="s">
        <v>104</v>
      </c>
      <c r="S8" t="s">
        <v>105</v>
      </c>
      <c r="T8" t="s">
        <v>93</v>
      </c>
      <c r="U8">
        <v>195.2</v>
      </c>
      <c r="V8">
        <v>213.2</v>
      </c>
      <c r="W8">
        <v>58.44</v>
      </c>
      <c r="Y8" s="4">
        <v>37</v>
      </c>
      <c r="Z8" s="5">
        <v>0.53210000000000002</v>
      </c>
    </row>
    <row r="9" spans="2:32">
      <c r="Y9" s="4">
        <v>40</v>
      </c>
      <c r="Z9" s="5">
        <v>0.5262</v>
      </c>
    </row>
    <row r="10" spans="2:32">
      <c r="Y10" s="4">
        <v>50</v>
      </c>
      <c r="Z10" s="5">
        <v>0.5373</v>
      </c>
      <c r="AF10" t="s">
        <v>25</v>
      </c>
    </row>
    <row r="11" spans="2:32">
      <c r="Y11" s="4">
        <v>60</v>
      </c>
      <c r="Z11" s="5">
        <v>0.5494</v>
      </c>
    </row>
    <row r="12" spans="2:32">
      <c r="Y12" s="4">
        <v>70</v>
      </c>
      <c r="Z12" s="5">
        <v>0.5625</v>
      </c>
    </row>
    <row r="13" spans="2:32">
      <c r="Y13" s="4">
        <v>80</v>
      </c>
      <c r="Z13" s="5">
        <v>0.57669999999999999</v>
      </c>
    </row>
    <row r="14" spans="2:32">
      <c r="Y14" s="4">
        <v>90</v>
      </c>
      <c r="Z14" s="5">
        <v>0.59199999999999997</v>
      </c>
    </row>
    <row r="15" spans="2:32" ht="12.95" thickBot="1">
      <c r="Y15" s="16">
        <v>100</v>
      </c>
      <c r="Z15" s="7">
        <v>0.60860000000000003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24A81ED335E24FA6FEAE46205DCAFE" ma:contentTypeVersion="14" ma:contentTypeDescription="Create a new document." ma:contentTypeScope="" ma:versionID="e58640ef158f1f956a961198d2e378d5">
  <xsd:schema xmlns:xsd="http://www.w3.org/2001/XMLSchema" xmlns:xs="http://www.w3.org/2001/XMLSchema" xmlns:p="http://schemas.microsoft.com/office/2006/metadata/properties" xmlns:ns2="fb8d7443-fa09-4b6d-a905-8d278334618e" xmlns:ns3="754dfe74-878d-48c0-af97-0addd8825ad5" targetNamespace="http://schemas.microsoft.com/office/2006/metadata/properties" ma:root="true" ma:fieldsID="30cd0d18bdb6dd69272a24f10d6932ef" ns2:_="" ns3:_="">
    <xsd:import namespace="fb8d7443-fa09-4b6d-a905-8d278334618e"/>
    <xsd:import namespace="754dfe74-878d-48c0-af97-0addd8825ad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8d7443-fa09-4b6d-a905-8d27833461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4dfe74-878d-48c0-af97-0addd8825ad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fb8d7443-fa09-4b6d-a905-8d278334618e" xsi:nil="true"/>
  </documentManagement>
</p:properties>
</file>

<file path=customXml/itemProps1.xml><?xml version="1.0" encoding="utf-8"?>
<ds:datastoreItem xmlns:ds="http://schemas.openxmlformats.org/officeDocument/2006/customXml" ds:itemID="{E932610D-61F6-43F2-A9C8-A8834EC6D89C}"/>
</file>

<file path=customXml/itemProps2.xml><?xml version="1.0" encoding="utf-8"?>
<ds:datastoreItem xmlns:ds="http://schemas.openxmlformats.org/officeDocument/2006/customXml" ds:itemID="{52C0826B-C00D-46C5-9925-943A4936EE0D}"/>
</file>

<file path=customXml/itemProps3.xml><?xml version="1.0" encoding="utf-8"?>
<ds:datastoreItem xmlns:ds="http://schemas.openxmlformats.org/officeDocument/2006/customXml" ds:itemID="{3967C26A-55D5-48EE-A204-EBCC385112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Jayan Senaratne</dc:creator>
  <cp:keywords/>
  <dc:description/>
  <cp:lastModifiedBy>Riyaz Maderbocus</cp:lastModifiedBy>
  <cp:revision>2</cp:revision>
  <dcterms:created xsi:type="dcterms:W3CDTF">2016-02-02T19:44:42Z</dcterms:created>
  <dcterms:modified xsi:type="dcterms:W3CDTF">2023-10-05T07:59:05Z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0x010100A324A81ED335E24FA6FEAE46205DCAFE</vt:lpwstr>
  </property>
  <property fmtid="{D5CDD505-2E9C-101B-9397-08002B2CF9AE}" pid="3" name="Order">
    <vt:r8>79400</vt:r8>
  </property>
</Properties>
</file>